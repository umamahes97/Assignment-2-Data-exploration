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"/>
    </mc:Choice>
  </mc:AlternateContent>
  <xr:revisionPtr revIDLastSave="0" documentId="8_{56A700C0-57F2-44B9-8376-46617A7C0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C2" i="1" l="1"/>
  <c r="F2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</calcChain>
</file>

<file path=xl/sharedStrings.xml><?xml version="1.0" encoding="utf-8"?>
<sst xmlns="http://schemas.openxmlformats.org/spreadsheetml/2006/main" count="190" uniqueCount="142">
  <si>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</si>
  <si>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</si>
  <si>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</si>
  <si>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</si>
  <si>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</si>
  <si>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</si>
  <si>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</si>
  <si>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</si>
  <si>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</si>
  <si>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</si>
  <si>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</si>
  <si>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</si>
  <si>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</si>
  <si>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</si>
  <si>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</si>
  <si>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</si>
  <si>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</si>
  <si>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</si>
  <si>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</si>
  <si>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</si>
  <si>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</si>
  <si>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</si>
  <si>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</si>
  <si>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</si>
  <si>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</si>
  <si>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</si>
  <si>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</si>
  <si>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</si>
  <si>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</si>
  <si>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</si>
  <si>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</si>
  <si>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</si>
  <si>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</si>
  <si>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</si>
  <si>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</si>
  <si>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</si>
  <si>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</si>
  <si>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</si>
  <si>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</si>
  <si>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</si>
  <si>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</si>
  <si>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</si>
  <si>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</si>
  <si>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</si>
  <si>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</si>
  <si>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</si>
  <si>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</si>
  <si>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</si>
  <si>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</si>
  <si>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</si>
  <si>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</si>
  <si>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</si>
  <si>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</si>
  <si>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</si>
  <si>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</si>
  <si>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</si>
  <si>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</si>
  <si>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</si>
  <si>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</si>
  <si>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</si>
  <si>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</si>
  <si>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</si>
  <si>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</si>
  <si>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</si>
  <si>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</si>
  <si>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</si>
  <si>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</si>
  <si>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</si>
  <si>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</si>
  <si>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</si>
  <si>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</si>
  <si>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</si>
  <si>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</si>
  <si>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</si>
  <si>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</si>
  <si>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</si>
  <si>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</si>
  <si>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</si>
  <si>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</si>
  <si>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</si>
  <si>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</si>
  <si>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</si>
  <si>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</si>
  <si>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</si>
  <si>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</si>
  <si>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</si>
  <si>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</si>
  <si>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</si>
  <si>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</si>
  <si>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</si>
  <si>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</si>
  <si>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</si>
  <si>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 No:1</t>
  </si>
  <si>
    <t>1.Check for Missing Values in Price Column?</t>
  </si>
  <si>
    <t>Using IF with ISBLANK Functions to check the</t>
  </si>
  <si>
    <t>missing values in the price column</t>
  </si>
  <si>
    <t xml:space="preserve">Average of the total price column and to handle </t>
  </si>
  <si>
    <t>the missing values of the given price column.</t>
  </si>
  <si>
    <t>IF(ISBLANK(D2),AVERAGE($D$2:$D$35),D2)</t>
  </si>
  <si>
    <t>MISSING VALUE IS  $309.35</t>
  </si>
  <si>
    <t>T-Shirt</t>
  </si>
  <si>
    <t>Unknown</t>
  </si>
  <si>
    <t>Question No:2</t>
  </si>
  <si>
    <t>1.Identify the inconsistent text in product Name and Category column?</t>
  </si>
  <si>
    <t>to clean the inconsistent data from product name and category column</t>
  </si>
  <si>
    <t>Using cleaning,Trimming and Proper functions are used</t>
  </si>
  <si>
    <t>PROPER(TRIM(CLEAN(B2)))</t>
  </si>
  <si>
    <t>PROPER(TRIM(CLEAN(F2)))</t>
  </si>
  <si>
    <t>2.Find out the misspellings in Product and Category columns?</t>
  </si>
  <si>
    <t>No errors in Product column</t>
  </si>
  <si>
    <t>Using Find and replace function to found out the errors in category</t>
  </si>
  <si>
    <t>I Found that the unknown column and recorrect the spelling of electronics category</t>
  </si>
  <si>
    <t>Questions No:3</t>
  </si>
  <si>
    <t>3.Remove Duplicates in the entire row</t>
  </si>
  <si>
    <t xml:space="preserve">Using Remove duplicates functions to clear the all duplicates in the entire data set </t>
  </si>
  <si>
    <t>Manufacturing date</t>
  </si>
  <si>
    <t>Country code</t>
  </si>
  <si>
    <t>Product Brand</t>
  </si>
  <si>
    <t>Questions No:4</t>
  </si>
  <si>
    <t>4.Splitting and Merging Data</t>
  </si>
  <si>
    <t>Using Left and Right Fuctions to splitt the Product ID converted to two columns</t>
  </si>
  <si>
    <t>Manufacuring Date =Left(A2,6)</t>
  </si>
  <si>
    <t>Country Code=Right(A2,2)</t>
  </si>
  <si>
    <t>Merging Data</t>
  </si>
  <si>
    <t xml:space="preserve">To Merge the Brand Name and Product Name </t>
  </si>
  <si>
    <t>Concatenate(E2," ",D2)</t>
  </si>
  <si>
    <t>Questions No:5</t>
  </si>
  <si>
    <t>Number Formatting</t>
  </si>
  <si>
    <t>Go to home tap and select the Number Folder and to select the currency format</t>
  </si>
  <si>
    <t>$1000</t>
  </si>
  <si>
    <t>2.To Format the Manufacturing date column in DD MM YY format</t>
  </si>
  <si>
    <t>1.To Format the price column in Currency Format</t>
  </si>
  <si>
    <t>Go to home tap and select the Number Folder and to select the Date format</t>
  </si>
  <si>
    <t>Year not given in the data set</t>
  </si>
  <si>
    <t>Questions No:6</t>
  </si>
  <si>
    <t>Conditional Formatting</t>
  </si>
  <si>
    <t xml:space="preserve">1.Apply data bar or color scales in price column </t>
  </si>
  <si>
    <t>Applying color scales to detect the highest ,medium and lowest price in the given data set</t>
  </si>
  <si>
    <t>Green,Yellow and Red colors</t>
  </si>
  <si>
    <t>2.To Highlight the Electronics in Category column</t>
  </si>
  <si>
    <t>Applying Custom rule in conditional formatting to highlight the electronics category</t>
  </si>
  <si>
    <t>Electronics in Light Green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</si>
</sst>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.0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167" fontId="0" fillId="0" borderId="0" xfId="0" applyNumberFormat="1"/>
    <xf numFmtId="0" fontId="6" fillId="0" borderId="0" xfId="0" applyFont="1"/>
    <xf numFmtId="0" fontId="8" fillId="0" borderId="0" xfId="0" applyFont="1" applyAlignment="1">
      <alignment vertical="center"/>
    </xf>
    <xf numFmtId="0" fontId="9" fillId="4" borderId="0" xfId="0" applyFont="1" applyFill="1"/>
    <xf numFmtId="14" fontId="5" fillId="2" borderId="0" xfId="0" applyNumberFormat="1" applyFont="1" applyFill="1" applyAlignment="1">
      <alignment horizontal="left" vertical="top"/>
    </xf>
    <xf numFmtId="167" fontId="5" fillId="2" borderId="0" xfId="0" applyNumberFormat="1" applyFont="1" applyFill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7" fontId="11" fillId="0" borderId="0" xfId="0" applyNumberFormat="1" applyFont="1" applyAlignment="1">
      <alignment horizontal="left" vertical="top"/>
    </xf>
    <xf numFmtId="14" fontId="11" fillId="3" borderId="0" xfId="0" applyNumberFormat="1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167" fontId="11" fillId="3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49" fontId="11" fillId="0" borderId="0" xfId="0" applyNumberFormat="1" applyFont="1" applyAlignment="1">
      <alignment horizontal="left" vertical="top"/>
    </xf>
    <xf numFmtId="49" fontId="0" fillId="0" borderId="0" xfId="0" applyNumberFormat="1"/>
    <xf numFmtId="49" fontId="11" fillId="3" borderId="0" xfId="0" applyNumberFormat="1" applyFont="1" applyFill="1" applyAlignment="1">
      <alignment horizontal="left" vertical="top"/>
    </xf>
    <xf numFmtId="0" fontId="11" fillId="0" borderId="0" xfId="0" applyNumberFormat="1" applyFont="1" applyAlignment="1">
      <alignment horizontal="left" vertical="top"/>
    </xf>
    <xf numFmtId="0" fontId="9" fillId="5" borderId="0" xfId="0" applyFont="1" applyFill="1"/>
    <xf numFmtId="0" fontId="10" fillId="5" borderId="0" xfId="0" applyFont="1" applyFill="1" applyAlignment="1">
      <alignment horizontal="left" vertical="top" wrapText="1"/>
    </xf>
    <xf numFmtId="0" fontId="10" fillId="5" borderId="0" xfId="0" applyFont="1" applyFill="1" applyAlignment="1">
      <alignment wrapText="1"/>
    </xf>
    <xf numFmtId="0" fontId="10" fillId="5" borderId="0" xfId="0" applyFont="1" applyFill="1"/>
    <xf numFmtId="0" fontId="9" fillId="5" borderId="0" xfId="0" applyFont="1" applyFill="1" applyAlignment="1"/>
    <xf numFmtId="0" fontId="7" fillId="6" borderId="0" xfId="0" applyFont="1" applyFill="1"/>
    <xf numFmtId="0" fontId="6" fillId="6" borderId="0" xfId="0" applyFont="1" applyFill="1"/>
    <xf numFmtId="0" fontId="9" fillId="6" borderId="0" xfId="0" applyFont="1" applyFill="1"/>
    <xf numFmtId="0" fontId="10" fillId="6" borderId="0" xfId="0" applyFont="1" applyFill="1"/>
    <xf numFmtId="0" fontId="12" fillId="4" borderId="0" xfId="0" applyFont="1" applyFill="1"/>
    <xf numFmtId="2" fontId="5" fillId="2" borderId="0" xfId="0" applyNumberFormat="1" applyFont="1" applyFill="1" applyAlignment="1">
      <alignment horizontal="left" vertical="top"/>
    </xf>
    <xf numFmtId="16" fontId="9" fillId="6" borderId="0" xfId="0" applyNumberFormat="1" applyFont="1" applyFill="1" applyAlignment="1">
      <alignment horizontal="left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[$$-409]#,##0.00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9D4B9-E876-48DF-8382-4CAD69D643F0}" name="Table2" displayName="Table2" ref="A1:I35" totalsRowShown="0" headerRowDxfId="13" dataDxfId="12">
  <autoFilter ref="A1:I35" xr:uid="{8059D4B9-E876-48DF-8382-4CAD69D643F0}"/>
  <sortState xmlns:xlrd2="http://schemas.microsoft.com/office/spreadsheetml/2017/richdata2" ref="A2:I35">
    <sortCondition sortBy="cellColor" ref="G1:G35" dxfId="2"/>
  </sortState>
  <tableColumns count="9">
    <tableColumn id="1" xr3:uid="{3B96A3C7-DF53-44B0-9003-3FC48A368A17}" name="Product ID" dataDxfId="6"/>
    <tableColumn id="12" xr3:uid="{B276D407-C34E-43B1-A17E-B871503A4A34}" name="Manufacturing date" dataDxfId="5">
      <calculatedColumnFormula>LEFT(A2,6)</calculatedColumnFormula>
    </tableColumn>
    <tableColumn id="13" xr3:uid="{70B3CC43-5AD4-4027-B123-1C9543CAA757}" name="Country code" dataDxfId="4">
      <calculatedColumnFormula>RIGHT(A2,2)</calculatedColumnFormula>
    </tableColumn>
    <tableColumn id="3" xr3:uid="{621A3593-CF50-4C39-A4F6-2A4E0239DD26}" name="Product Name" dataDxfId="11"/>
    <tableColumn id="4" xr3:uid="{BF85874B-0A84-422A-8C6D-C2DA06BE26AC}" name="Brand Name" dataDxfId="10"/>
    <tableColumn id="14" xr3:uid="{F55FE7DE-6CFE-434A-9422-FB91C6705591}" name="Product Brand" dataDxfId="3">
      <calculatedColumnFormula>CONCATENATE(E2," ",D2)</calculatedColumnFormula>
    </tableColumn>
    <tableColumn id="5" xr3:uid="{69E715FB-4D71-4876-8DDC-93B0F7E0255D}" name="Price ($)" dataDxfId="9"/>
    <tableColumn id="7" xr3:uid="{31AADBA1-B3DF-427C-B5B6-A3BDFCEE0ACE}" name="Quantity" dataDxfId="8"/>
    <tableColumn id="8" xr3:uid="{BDFA29D0-86E5-4575-AFF2-109EF4BB7761}" name="Categor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A28" workbookViewId="0">
      <selection activeCell="R46" sqref="R46"/>
    </sheetView>
  </sheetViews>
  <sheetFormatPr defaultColWidth="12.6640625" defaultRowHeight="15" customHeight="1" x14ac:dyDescent="0.25"/>
  <cols>
    <col min="1" max="1" width="18.77734375" style="5" customWidth="1"/>
    <col min="2" max="2" width="24" style="5" bestFit="1" customWidth="1"/>
    <col min="3" max="3" width="15.6640625" style="5" customWidth="1"/>
    <col min="4" max="4" width="20.88671875" style="20" customWidth="1"/>
    <col min="5" max="5" width="15.77734375" customWidth="1"/>
    <col min="6" max="6" width="26" bestFit="1" customWidth="1"/>
    <col min="7" max="7" width="15.44140625" style="6" customWidth="1"/>
    <col min="8" max="8" width="12.77734375" bestFit="1" customWidth="1"/>
    <col min="9" max="9" width="14.6640625" style="20" customWidth="1"/>
    <col min="14" max="14" width="83.109375" bestFit="1" customWidth="1"/>
    <col min="16" max="16" width="90.21875" bestFit="1" customWidth="1"/>
    <col min="18" max="18" width="90" bestFit="1" customWidth="1"/>
  </cols>
  <sheetData>
    <row r="1" spans="1:19" ht="15.75" customHeight="1" x14ac:dyDescent="0.25">
      <c r="A1" s="10" t="s">
        <v>0</v>
      </c>
      <c r="B1" s="10" t="s">
        <v>115</v>
      </c>
      <c r="C1" s="18" t="s">
        <v>116</v>
      </c>
      <c r="D1" s="18" t="s">
        <v>1</v>
      </c>
      <c r="E1" s="18" t="s">
        <v>2</v>
      </c>
      <c r="F1" s="18" t="s">
        <v>117</v>
      </c>
      <c r="G1" s="11" t="s">
        <v>3</v>
      </c>
      <c r="H1" s="33" t="s">
        <v>4</v>
      </c>
      <c r="I1" s="18" t="s">
        <v>5</v>
      </c>
    </row>
    <row r="2" spans="1:19" ht="15.75" customHeight="1" x14ac:dyDescent="0.25">
      <c r="A2" s="12" t="s">
        <v>6</v>
      </c>
      <c r="B2" s="12" t="str">
        <f>LEFT(A2,6)</f>
        <v>28-JAN</v>
      </c>
      <c r="C2" s="12" t="str">
        <f>RIGHT(A2,2)</f>
        <v>US</v>
      </c>
      <c r="D2" s="19" t="s">
        <v>38</v>
      </c>
      <c r="E2" s="13" t="s">
        <v>7</v>
      </c>
      <c r="F2" s="13" t="str">
        <f>CONCATENATE(E2," ",D2)</f>
        <v>Dell Laptop</v>
      </c>
      <c r="G2" s="14">
        <v>1000</v>
      </c>
      <c r="H2" s="13">
        <v>30</v>
      </c>
      <c r="I2" s="22" t="s">
        <v>8</v>
      </c>
    </row>
    <row r="3" spans="1:19" ht="15.75" customHeight="1" x14ac:dyDescent="0.3">
      <c r="A3" s="15" t="s">
        <v>9</v>
      </c>
      <c r="B3" s="15" t="str">
        <f>LEFT(A3,6)</f>
        <v>15-FEB</v>
      </c>
      <c r="C3" s="15" t="str">
        <f>RIGHT(A3,2)</f>
        <v>US</v>
      </c>
      <c r="D3" s="21" t="s">
        <v>10</v>
      </c>
      <c r="E3" s="16" t="s">
        <v>11</v>
      </c>
      <c r="F3" s="16" t="str">
        <f>CONCATENATE(E3," ",D3)</f>
        <v>Nike Sneakers</v>
      </c>
      <c r="G3" s="17">
        <v>80</v>
      </c>
      <c r="H3" s="16">
        <v>15</v>
      </c>
      <c r="I3" s="21" t="s">
        <v>12</v>
      </c>
      <c r="L3" s="2"/>
      <c r="M3" s="1"/>
      <c r="N3" s="1"/>
      <c r="O3" s="1"/>
      <c r="P3" s="1"/>
      <c r="Q3" s="1"/>
      <c r="R3" s="1"/>
      <c r="S3" s="1"/>
    </row>
    <row r="4" spans="1:19" ht="15.75" customHeight="1" x14ac:dyDescent="0.3">
      <c r="A4" s="12" t="s">
        <v>13</v>
      </c>
      <c r="B4" s="12" t="str">
        <f>LEFT(A4,6)</f>
        <v>03-MAR</v>
      </c>
      <c r="C4" s="12" t="str">
        <f>RIGHT(A4,2)</f>
        <v>US</v>
      </c>
      <c r="D4" s="19" t="s">
        <v>14</v>
      </c>
      <c r="E4" s="13" t="s">
        <v>15</v>
      </c>
      <c r="F4" s="13" t="str">
        <f>CONCATENATE(E4," ",D4)</f>
        <v>Keurig Coffee Maker</v>
      </c>
      <c r="G4" s="14">
        <v>130</v>
      </c>
      <c r="H4" s="13">
        <v>40</v>
      </c>
      <c r="I4" s="19" t="s">
        <v>16</v>
      </c>
      <c r="L4" s="1"/>
      <c r="M4" s="3"/>
      <c r="N4" s="1"/>
      <c r="O4" s="1"/>
      <c r="P4" s="1"/>
      <c r="Q4" s="1"/>
      <c r="R4" s="1"/>
      <c r="S4" s="1"/>
    </row>
    <row r="5" spans="1:19" ht="15.75" customHeight="1" x14ac:dyDescent="0.3">
      <c r="A5" s="15" t="s">
        <v>17</v>
      </c>
      <c r="B5" s="15" t="str">
        <f>LEFT(A5,6)</f>
        <v>11-APR</v>
      </c>
      <c r="C5" s="15" t="str">
        <f>RIGHT(A5,2)</f>
        <v>US</v>
      </c>
      <c r="D5" s="21" t="s">
        <v>72</v>
      </c>
      <c r="E5" s="16" t="s">
        <v>18</v>
      </c>
      <c r="F5" s="16" t="str">
        <f>CONCATENATE(E5," ",D5)</f>
        <v>Samsung Smartphone</v>
      </c>
      <c r="G5" s="17">
        <v>900</v>
      </c>
      <c r="H5" s="16">
        <v>25</v>
      </c>
      <c r="I5" s="21" t="s">
        <v>8</v>
      </c>
      <c r="L5" s="1"/>
      <c r="M5" s="4"/>
      <c r="N5" s="1"/>
      <c r="O5" s="1"/>
      <c r="P5" s="1"/>
      <c r="Q5" s="1"/>
      <c r="R5" s="1"/>
      <c r="S5" s="1"/>
    </row>
    <row r="6" spans="1:19" ht="15.75" customHeight="1" x14ac:dyDescent="0.25">
      <c r="A6" s="12" t="s">
        <v>19</v>
      </c>
      <c r="B6" s="12" t="str">
        <f>LEFT(A6,6)</f>
        <v>22-MAY</v>
      </c>
      <c r="C6" s="12" t="str">
        <f>RIGHT(A6,2)</f>
        <v>US</v>
      </c>
      <c r="D6" s="19" t="s">
        <v>20</v>
      </c>
      <c r="E6" s="13" t="s">
        <v>21</v>
      </c>
      <c r="F6" s="13" t="str">
        <f>CONCATENATE(E6," ",D6)</f>
        <v>North Face Backpack</v>
      </c>
      <c r="G6" s="14">
        <v>70</v>
      </c>
      <c r="H6" s="13">
        <v>20</v>
      </c>
      <c r="I6" s="19" t="s">
        <v>101</v>
      </c>
    </row>
    <row r="7" spans="1:19" ht="15.75" customHeight="1" x14ac:dyDescent="0.25">
      <c r="A7" s="15" t="s">
        <v>22</v>
      </c>
      <c r="B7" s="15" t="str">
        <f>LEFT(A7,6)</f>
        <v>07-JUN</v>
      </c>
      <c r="C7" s="15" t="str">
        <f>RIGHT(A7,2)</f>
        <v>UK</v>
      </c>
      <c r="D7" s="21" t="s">
        <v>23</v>
      </c>
      <c r="E7" s="16" t="s">
        <v>24</v>
      </c>
      <c r="F7" s="16" t="str">
        <f>CONCATENATE(E7," ",D7)</f>
        <v>Sony Headphones</v>
      </c>
      <c r="G7" s="17">
        <v>309.35483870967744</v>
      </c>
      <c r="H7" s="16">
        <v>45</v>
      </c>
      <c r="I7" s="21" t="s">
        <v>8</v>
      </c>
    </row>
    <row r="8" spans="1:19" ht="15.75" customHeight="1" x14ac:dyDescent="0.25">
      <c r="A8" s="12" t="s">
        <v>25</v>
      </c>
      <c r="B8" s="12" t="str">
        <f>LEFT(A8,6)</f>
        <v>19-JUL</v>
      </c>
      <c r="C8" s="12" t="str">
        <f>RIGHT(A8,2)</f>
        <v>UK</v>
      </c>
      <c r="D8" s="19" t="s">
        <v>100</v>
      </c>
      <c r="E8" s="13" t="s">
        <v>26</v>
      </c>
      <c r="F8" s="13" t="str">
        <f>CONCATENATE(E8," ",D8)</f>
        <v>Adidas T-Shirt</v>
      </c>
      <c r="G8" s="14">
        <v>30</v>
      </c>
      <c r="H8" s="13">
        <v>5</v>
      </c>
      <c r="I8" s="19" t="s">
        <v>12</v>
      </c>
    </row>
    <row r="9" spans="1:19" ht="15.75" customHeight="1" x14ac:dyDescent="0.25">
      <c r="A9" s="15" t="s">
        <v>27</v>
      </c>
      <c r="B9" s="15" t="str">
        <f>LEFT(A9,6)</f>
        <v>23-AUG</v>
      </c>
      <c r="C9" s="15" t="str">
        <f>RIGHT(A9,2)</f>
        <v>UK</v>
      </c>
      <c r="D9" s="21" t="s">
        <v>28</v>
      </c>
      <c r="E9" s="16" t="s">
        <v>29</v>
      </c>
      <c r="F9" s="16" t="str">
        <f>CONCATENATE(E9," ",D9)</f>
        <v>Ninja Blender</v>
      </c>
      <c r="G9" s="17">
        <v>90</v>
      </c>
      <c r="H9" s="16">
        <v>35</v>
      </c>
      <c r="I9" s="21" t="s">
        <v>16</v>
      </c>
      <c r="N9" s="8" t="s">
        <v>92</v>
      </c>
      <c r="P9" s="8" t="s">
        <v>112</v>
      </c>
      <c r="R9" s="8" t="s">
        <v>126</v>
      </c>
    </row>
    <row r="10" spans="1:19" ht="15.75" customHeight="1" x14ac:dyDescent="0.25">
      <c r="A10" s="12" t="s">
        <v>30</v>
      </c>
      <c r="B10" s="12" t="str">
        <f>LEFT(A10,6)</f>
        <v>05-SEP</v>
      </c>
      <c r="C10" s="12" t="str">
        <f>RIGHT(A10,2)</f>
        <v>UK</v>
      </c>
      <c r="D10" s="19" t="s">
        <v>31</v>
      </c>
      <c r="E10" s="13" t="s">
        <v>32</v>
      </c>
      <c r="F10" s="13" t="str">
        <f>CONCATENATE(E10," ",D10)</f>
        <v>Apple Tablet</v>
      </c>
      <c r="G10" s="14">
        <v>500</v>
      </c>
      <c r="H10" s="13">
        <v>50</v>
      </c>
      <c r="I10" s="19" t="s">
        <v>8</v>
      </c>
    </row>
    <row r="11" spans="1:19" ht="15.75" customHeight="1" x14ac:dyDescent="0.3">
      <c r="A11" s="15" t="s">
        <v>33</v>
      </c>
      <c r="B11" s="15" t="str">
        <f>LEFT(A11,6)</f>
        <v>14-OCT</v>
      </c>
      <c r="C11" s="15" t="str">
        <f>RIGHT(A11,2)</f>
        <v>UK</v>
      </c>
      <c r="D11" s="21" t="s">
        <v>34</v>
      </c>
      <c r="E11" s="16" t="s">
        <v>35</v>
      </c>
      <c r="F11" s="16" t="str">
        <f>CONCATENATE(E11," ",D11)</f>
        <v>Timberland Hiking Boots</v>
      </c>
      <c r="G11" s="17">
        <v>130</v>
      </c>
      <c r="H11" s="16">
        <v>10</v>
      </c>
      <c r="I11" s="21" t="s">
        <v>36</v>
      </c>
      <c r="N11" s="9" t="s">
        <v>93</v>
      </c>
      <c r="P11" s="32" t="s">
        <v>113</v>
      </c>
      <c r="R11" s="32" t="s">
        <v>127</v>
      </c>
    </row>
    <row r="12" spans="1:19" ht="15.75" customHeight="1" x14ac:dyDescent="0.25">
      <c r="A12" s="12" t="s">
        <v>37</v>
      </c>
      <c r="B12" s="12" t="str">
        <f>LEFT(A12,6)</f>
        <v>17-JUN</v>
      </c>
      <c r="C12" s="12" t="str">
        <f>RIGHT(A12,2)</f>
        <v>IN</v>
      </c>
      <c r="D12" s="19" t="s">
        <v>38</v>
      </c>
      <c r="E12" s="13" t="s">
        <v>39</v>
      </c>
      <c r="F12" s="13" t="str">
        <f>CONCATENATE(E12," ",D12)</f>
        <v>HP Laptop</v>
      </c>
      <c r="G12" s="14">
        <v>950</v>
      </c>
      <c r="H12" s="13">
        <v>25</v>
      </c>
      <c r="I12" s="19" t="s">
        <v>8</v>
      </c>
    </row>
    <row r="13" spans="1:19" ht="15.75" customHeight="1" x14ac:dyDescent="0.3">
      <c r="A13" s="15" t="s">
        <v>40</v>
      </c>
      <c r="B13" s="15" t="str">
        <f>LEFT(A13,6)</f>
        <v>25-NOV</v>
      </c>
      <c r="C13" s="15" t="str">
        <f>RIGHT(A13,2)</f>
        <v>AU</v>
      </c>
      <c r="D13" s="21" t="s">
        <v>10</v>
      </c>
      <c r="E13" s="16" t="s">
        <v>26</v>
      </c>
      <c r="F13" s="16" t="str">
        <f>CONCATENATE(E13," ",D13)</f>
        <v>Adidas Sneakers</v>
      </c>
      <c r="G13" s="17">
        <v>90</v>
      </c>
      <c r="H13" s="16">
        <v>40</v>
      </c>
      <c r="I13" s="19" t="s">
        <v>12</v>
      </c>
      <c r="M13" s="7"/>
      <c r="N13" s="25" t="s">
        <v>94</v>
      </c>
      <c r="P13" s="23" t="s">
        <v>114</v>
      </c>
      <c r="R13" s="26" t="s">
        <v>131</v>
      </c>
    </row>
    <row r="14" spans="1:19" ht="15.75" customHeight="1" x14ac:dyDescent="0.25">
      <c r="A14" s="12" t="s">
        <v>41</v>
      </c>
      <c r="B14" s="12" t="str">
        <f>LEFT(A14,6)</f>
        <v>08-DEC</v>
      </c>
      <c r="C14" s="12" t="str">
        <f>RIGHT(A14,2)</f>
        <v>DE</v>
      </c>
      <c r="D14" s="19" t="s">
        <v>14</v>
      </c>
      <c r="E14" s="13" t="s">
        <v>42</v>
      </c>
      <c r="F14" s="13" t="str">
        <f>CONCATENATE(E14," ",D14)</f>
        <v>Nespresso Coffee Maker</v>
      </c>
      <c r="G14" s="14">
        <v>120</v>
      </c>
      <c r="H14" s="13">
        <v>35</v>
      </c>
      <c r="I14" s="19" t="s">
        <v>16</v>
      </c>
      <c r="N14" s="25" t="s">
        <v>95</v>
      </c>
    </row>
    <row r="15" spans="1:19" ht="15.75" customHeight="1" x14ac:dyDescent="0.25">
      <c r="A15" s="15" t="s">
        <v>43</v>
      </c>
      <c r="B15" s="15" t="str">
        <f>LEFT(A15,6)</f>
        <v>18-FEB</v>
      </c>
      <c r="C15" s="15" t="str">
        <f>RIGHT(A15,2)</f>
        <v>CA</v>
      </c>
      <c r="D15" s="21" t="s">
        <v>44</v>
      </c>
      <c r="E15" s="16" t="s">
        <v>45</v>
      </c>
      <c r="F15" s="16" t="str">
        <f>CONCATENATE(E15," ",D15)</f>
        <v>Fitbit Smartwatch</v>
      </c>
      <c r="G15" s="17">
        <v>150</v>
      </c>
      <c r="H15" s="16">
        <v>15</v>
      </c>
      <c r="I15" s="21" t="s">
        <v>8</v>
      </c>
      <c r="R15" s="26" t="s">
        <v>128</v>
      </c>
    </row>
    <row r="16" spans="1:19" ht="15.75" customHeight="1" x14ac:dyDescent="0.25">
      <c r="A16" s="12" t="s">
        <v>46</v>
      </c>
      <c r="B16" s="12" t="str">
        <f>LEFT(A16,6)</f>
        <v>16-APR</v>
      </c>
      <c r="C16" s="12" t="str">
        <f>RIGHT(A16,2)</f>
        <v>ES</v>
      </c>
      <c r="D16" s="19" t="s">
        <v>23</v>
      </c>
      <c r="E16" s="13" t="s">
        <v>47</v>
      </c>
      <c r="F16" s="13" t="str">
        <f>CONCATENATE(E16," ",D16)</f>
        <v>Bose Headphones</v>
      </c>
      <c r="G16" s="14">
        <v>250</v>
      </c>
      <c r="H16" s="13">
        <v>20</v>
      </c>
      <c r="I16" s="19" t="s">
        <v>8</v>
      </c>
      <c r="N16" s="24" t="s">
        <v>96</v>
      </c>
      <c r="P16" s="8" t="s">
        <v>118</v>
      </c>
    </row>
    <row r="17" spans="1:18" ht="15.75" customHeight="1" x14ac:dyDescent="0.3">
      <c r="A17" s="15" t="s">
        <v>48</v>
      </c>
      <c r="B17" s="15" t="str">
        <f>LEFT(A17,6)</f>
        <v>21-AUG</v>
      </c>
      <c r="C17" s="15" t="str">
        <f>RIGHT(A17,2)</f>
        <v>CA</v>
      </c>
      <c r="D17" s="21" t="s">
        <v>49</v>
      </c>
      <c r="E17" s="16" t="s">
        <v>50</v>
      </c>
      <c r="F17" s="16" t="str">
        <f>CONCATENATE(E17," ",D17)</f>
        <v>Samsonite Laptop Bag</v>
      </c>
      <c r="G17" s="17">
        <v>50</v>
      </c>
      <c r="H17" s="16">
        <v>35</v>
      </c>
      <c r="I17" s="21" t="s">
        <v>51</v>
      </c>
      <c r="N17" s="26" t="s">
        <v>97</v>
      </c>
      <c r="R17" s="30" t="s">
        <v>129</v>
      </c>
    </row>
    <row r="18" spans="1:18" ht="15.75" customHeight="1" x14ac:dyDescent="0.3">
      <c r="A18" s="12" t="s">
        <v>52</v>
      </c>
      <c r="B18" s="12" t="str">
        <f>LEFT(A18,6)</f>
        <v>20-AUG</v>
      </c>
      <c r="C18" s="12" t="str">
        <f>RIGHT(A18,2)</f>
        <v>CN</v>
      </c>
      <c r="D18" s="19" t="s">
        <v>44</v>
      </c>
      <c r="E18" s="13" t="s">
        <v>53</v>
      </c>
      <c r="F18" s="13" t="str">
        <f>CONCATENATE(E18," ",D18)</f>
        <v>Huawei Smartwatch</v>
      </c>
      <c r="G18" s="14">
        <v>160</v>
      </c>
      <c r="H18" s="13">
        <v>15</v>
      </c>
      <c r="I18" s="19" t="s">
        <v>8</v>
      </c>
      <c r="P18" s="9" t="s">
        <v>119</v>
      </c>
    </row>
    <row r="19" spans="1:18" ht="15.75" customHeight="1" x14ac:dyDescent="0.25">
      <c r="A19" s="15" t="s">
        <v>54</v>
      </c>
      <c r="B19" s="15" t="str">
        <f>LEFT(A19,6)</f>
        <v>27-JAN</v>
      </c>
      <c r="C19" s="15" t="str">
        <f>RIGHT(A19,2)</f>
        <v>IT</v>
      </c>
      <c r="D19" s="21" t="s">
        <v>38</v>
      </c>
      <c r="E19" s="16" t="s">
        <v>55</v>
      </c>
      <c r="F19" s="16" t="str">
        <f>CONCATENATE(E19," ",D19)</f>
        <v>Asus Laptop</v>
      </c>
      <c r="G19" s="17">
        <v>980</v>
      </c>
      <c r="H19" s="16">
        <v>10</v>
      </c>
      <c r="I19" s="21" t="s">
        <v>8</v>
      </c>
      <c r="N19" s="28" t="s">
        <v>98</v>
      </c>
      <c r="R19" s="26" t="s">
        <v>130</v>
      </c>
    </row>
    <row r="20" spans="1:18" ht="15.75" customHeight="1" x14ac:dyDescent="0.25">
      <c r="A20" s="12" t="s">
        <v>56</v>
      </c>
      <c r="B20" s="12" t="str">
        <f>LEFT(A20,6)</f>
        <v>01-MAR</v>
      </c>
      <c r="C20" s="12" t="str">
        <f>RIGHT(A20,2)</f>
        <v>UK</v>
      </c>
      <c r="D20" s="19" t="s">
        <v>57</v>
      </c>
      <c r="E20" s="13" t="s">
        <v>58</v>
      </c>
      <c r="F20" s="13" t="str">
        <f>CONCATENATE(E20," ",D20)</f>
        <v>Oakley Sunglasses</v>
      </c>
      <c r="G20" s="14">
        <v>150</v>
      </c>
      <c r="H20" s="13">
        <v>15</v>
      </c>
      <c r="I20" s="19" t="s">
        <v>12</v>
      </c>
      <c r="P20" s="26" t="s">
        <v>120</v>
      </c>
    </row>
    <row r="21" spans="1:18" ht="15.75" customHeight="1" x14ac:dyDescent="0.25">
      <c r="A21" s="15" t="s">
        <v>59</v>
      </c>
      <c r="B21" s="15" t="str">
        <f>LEFT(A21,6)</f>
        <v>14-AUG</v>
      </c>
      <c r="C21" s="15" t="str">
        <f>RIGHT(A21,2)</f>
        <v>US</v>
      </c>
      <c r="D21" s="21" t="s">
        <v>60</v>
      </c>
      <c r="E21" s="16" t="s">
        <v>61</v>
      </c>
      <c r="F21" s="16" t="str">
        <f>CONCATENATE(E21," ",D21)</f>
        <v>Coleman Camping Tent</v>
      </c>
      <c r="G21" s="17">
        <v>309.35483870967744</v>
      </c>
      <c r="H21" s="16">
        <v>10</v>
      </c>
      <c r="I21" s="21" t="s">
        <v>36</v>
      </c>
      <c r="N21" s="28" t="s">
        <v>99</v>
      </c>
      <c r="R21" s="26" t="s">
        <v>132</v>
      </c>
    </row>
    <row r="22" spans="1:18" ht="15.75" customHeight="1" x14ac:dyDescent="0.3">
      <c r="A22" s="12" t="s">
        <v>62</v>
      </c>
      <c r="B22" s="12" t="str">
        <f>LEFT(A22,6)</f>
        <v>14-MAY</v>
      </c>
      <c r="C22" s="12" t="str">
        <f>RIGHT(A22,2)</f>
        <v>RU</v>
      </c>
      <c r="D22" s="19" t="s">
        <v>63</v>
      </c>
      <c r="E22" s="13" t="s">
        <v>64</v>
      </c>
      <c r="F22" s="13" t="str">
        <f>CONCATENATE(E22," ",D22)</f>
        <v>Nikon Camera</v>
      </c>
      <c r="G22" s="14">
        <v>700</v>
      </c>
      <c r="H22" s="13">
        <v>50</v>
      </c>
      <c r="I22" s="19" t="s">
        <v>8</v>
      </c>
      <c r="P22" s="30" t="s">
        <v>121</v>
      </c>
      <c r="R22" s="26" t="s">
        <v>133</v>
      </c>
    </row>
    <row r="23" spans="1:18" ht="15.75" customHeight="1" x14ac:dyDescent="0.3">
      <c r="A23" s="15" t="s">
        <v>65</v>
      </c>
      <c r="B23" s="15" t="str">
        <f>LEFT(A23,6)</f>
        <v>09-JAN</v>
      </c>
      <c r="C23" s="15" t="str">
        <f>RIGHT(A23,2)</f>
        <v>CA</v>
      </c>
      <c r="D23" s="21" t="s">
        <v>66</v>
      </c>
      <c r="E23" s="16" t="s">
        <v>67</v>
      </c>
      <c r="F23" s="16" t="str">
        <f>CONCATENATE(E23," ",D23)</f>
        <v>Panasonic Microwave</v>
      </c>
      <c r="G23" s="17">
        <v>80</v>
      </c>
      <c r="H23" s="16">
        <v>20</v>
      </c>
      <c r="I23" s="21" t="s">
        <v>16</v>
      </c>
      <c r="P23" s="30" t="s">
        <v>122</v>
      </c>
    </row>
    <row r="24" spans="1:18" ht="15.75" customHeight="1" x14ac:dyDescent="0.3">
      <c r="A24" s="12" t="s">
        <v>68</v>
      </c>
      <c r="B24" s="12" t="str">
        <f>LEFT(A24,6)</f>
        <v>19-JUL</v>
      </c>
      <c r="C24" s="12" t="str">
        <f>RIGHT(A24,2)</f>
        <v>BR</v>
      </c>
      <c r="D24" s="19" t="s">
        <v>69</v>
      </c>
      <c r="E24" s="13" t="s">
        <v>70</v>
      </c>
      <c r="F24" s="13" t="str">
        <f>CONCATENATE(E24," ",D24)</f>
        <v>Xiaomi Fitness Tracker</v>
      </c>
      <c r="G24" s="14">
        <v>150</v>
      </c>
      <c r="H24" s="13">
        <v>30</v>
      </c>
      <c r="I24" s="19" t="s">
        <v>8</v>
      </c>
      <c r="R24" s="34">
        <v>46050</v>
      </c>
    </row>
    <row r="25" spans="1:18" ht="15.75" customHeight="1" x14ac:dyDescent="0.3">
      <c r="A25" s="15" t="s">
        <v>48</v>
      </c>
      <c r="B25" s="15" t="str">
        <f>LEFT(A25,6)</f>
        <v>21-AUG</v>
      </c>
      <c r="C25" s="15" t="str">
        <f>RIGHT(A25,2)</f>
        <v>CA</v>
      </c>
      <c r="D25" s="21" t="s">
        <v>49</v>
      </c>
      <c r="E25" s="16" t="s">
        <v>50</v>
      </c>
      <c r="F25" s="16" t="str">
        <f>CONCATENATE(E25," ",D25)</f>
        <v>Samsonite Laptop Bag</v>
      </c>
      <c r="G25" s="17">
        <v>50</v>
      </c>
      <c r="H25" s="16">
        <v>35</v>
      </c>
      <c r="I25" s="21" t="s">
        <v>51</v>
      </c>
      <c r="N25" s="8" t="s">
        <v>102</v>
      </c>
      <c r="P25" s="9" t="s">
        <v>123</v>
      </c>
    </row>
    <row r="26" spans="1:18" ht="15.75" customHeight="1" x14ac:dyDescent="0.25">
      <c r="A26" s="12" t="s">
        <v>71</v>
      </c>
      <c r="B26" s="12" t="str">
        <f>LEFT(A26,6)</f>
        <v>29-SEP</v>
      </c>
      <c r="C26" s="12" t="str">
        <f>RIGHT(A26,2)</f>
        <v>CA</v>
      </c>
      <c r="D26" s="19" t="s">
        <v>72</v>
      </c>
      <c r="E26" s="13" t="s">
        <v>73</v>
      </c>
      <c r="F26" s="13" t="str">
        <f>CONCATENATE(E26," ",D26)</f>
        <v>Google Smartphone</v>
      </c>
      <c r="G26" s="14">
        <v>800</v>
      </c>
      <c r="H26" s="13">
        <v>45</v>
      </c>
      <c r="I26" s="19" t="s">
        <v>8</v>
      </c>
    </row>
    <row r="27" spans="1:18" ht="15.75" customHeight="1" x14ac:dyDescent="0.3">
      <c r="A27" s="15" t="s">
        <v>74</v>
      </c>
      <c r="B27" s="15" t="str">
        <f>LEFT(A27,6)</f>
        <v>03-JUN</v>
      </c>
      <c r="C27" s="15" t="str">
        <f>RIGHT(A27,2)</f>
        <v>CA</v>
      </c>
      <c r="D27" s="21" t="s">
        <v>57</v>
      </c>
      <c r="E27" s="16" t="s">
        <v>75</v>
      </c>
      <c r="F27" s="16" t="str">
        <f>CONCATENATE(E27," ",D27)</f>
        <v>Ray-Ban Sunglasses</v>
      </c>
      <c r="G27" s="17">
        <v>309.35483870967744</v>
      </c>
      <c r="H27" s="16">
        <v>25</v>
      </c>
      <c r="I27" s="21" t="s">
        <v>12</v>
      </c>
      <c r="N27" s="23" t="s">
        <v>103</v>
      </c>
      <c r="P27" s="31" t="s">
        <v>124</v>
      </c>
      <c r="R27" s="8" t="s">
        <v>134</v>
      </c>
    </row>
    <row r="28" spans="1:18" ht="15.75" customHeight="1" x14ac:dyDescent="0.3">
      <c r="A28" s="12" t="s">
        <v>76</v>
      </c>
      <c r="B28" s="12" t="str">
        <f>LEFT(A28,6)</f>
        <v>11-JUL</v>
      </c>
      <c r="C28" s="12" t="str">
        <f>RIGHT(A28,2)</f>
        <v>CA</v>
      </c>
      <c r="D28" s="19" t="s">
        <v>28</v>
      </c>
      <c r="E28" s="13" t="s">
        <v>77</v>
      </c>
      <c r="F28" s="13" t="str">
        <f>CONCATENATE(E28," ",D28)</f>
        <v>Vitamix Blender</v>
      </c>
      <c r="G28" s="14">
        <v>400</v>
      </c>
      <c r="H28" s="13">
        <v>40</v>
      </c>
      <c r="I28" s="19" t="s">
        <v>16</v>
      </c>
      <c r="P28" s="30" t="s">
        <v>125</v>
      </c>
    </row>
    <row r="29" spans="1:18" ht="15.75" customHeight="1" x14ac:dyDescent="0.3">
      <c r="A29" s="15" t="s">
        <v>46</v>
      </c>
      <c r="B29" s="15" t="str">
        <f>LEFT(A29,6)</f>
        <v>16-APR</v>
      </c>
      <c r="C29" s="15" t="str">
        <f>RIGHT(A29,2)</f>
        <v>ES</v>
      </c>
      <c r="D29" s="21" t="s">
        <v>23</v>
      </c>
      <c r="E29" s="16" t="s">
        <v>47</v>
      </c>
      <c r="F29" s="16" t="str">
        <f>CONCATENATE(E29," ",D29)</f>
        <v>Bose Headphones</v>
      </c>
      <c r="G29" s="17">
        <v>250</v>
      </c>
      <c r="H29" s="16">
        <v>20</v>
      </c>
      <c r="I29" s="21" t="s">
        <v>8</v>
      </c>
      <c r="N29" s="27" t="s">
        <v>105</v>
      </c>
      <c r="R29" s="32" t="s">
        <v>135</v>
      </c>
    </row>
    <row r="30" spans="1:18" ht="15.75" customHeight="1" x14ac:dyDescent="0.3">
      <c r="A30" s="12" t="s">
        <v>78</v>
      </c>
      <c r="B30" s="12" t="str">
        <f>LEFT(A30,6)</f>
        <v>07-MAR</v>
      </c>
      <c r="C30" s="12" t="str">
        <f>RIGHT(A30,2)</f>
        <v>CA</v>
      </c>
      <c r="D30" s="19" t="s">
        <v>79</v>
      </c>
      <c r="E30" s="13" t="s">
        <v>80</v>
      </c>
      <c r="F30" s="13" t="str">
        <f>CONCATENATE(E30," ",D30)</f>
        <v>Zara Dress</v>
      </c>
      <c r="G30" s="14">
        <v>60</v>
      </c>
      <c r="H30" s="13">
        <v>30</v>
      </c>
      <c r="I30" s="19" t="s">
        <v>12</v>
      </c>
      <c r="N30" s="23" t="s">
        <v>104</v>
      </c>
    </row>
    <row r="31" spans="1:18" ht="15.75" customHeight="1" x14ac:dyDescent="0.3">
      <c r="A31" s="15" t="s">
        <v>81</v>
      </c>
      <c r="B31" s="15" t="str">
        <f>LEFT(A31,6)</f>
        <v>13-APR</v>
      </c>
      <c r="C31" s="15" t="str">
        <f>RIGHT(A31,2)</f>
        <v>CA</v>
      </c>
      <c r="D31" s="21" t="s">
        <v>82</v>
      </c>
      <c r="E31" s="16" t="s">
        <v>83</v>
      </c>
      <c r="F31" s="16" t="str">
        <f>CONCATENATE(E31," ",D31)</f>
        <v>Hamilton Toaster</v>
      </c>
      <c r="G31" s="17">
        <v>40</v>
      </c>
      <c r="H31" s="16">
        <v>10</v>
      </c>
      <c r="I31" s="21" t="s">
        <v>16</v>
      </c>
      <c r="R31" s="23" t="s">
        <v>136</v>
      </c>
    </row>
    <row r="32" spans="1:18" ht="15.75" customHeight="1" x14ac:dyDescent="0.25">
      <c r="A32" s="12" t="s">
        <v>84</v>
      </c>
      <c r="B32" s="12" t="str">
        <f>LEFT(A32,6)</f>
        <v>24-MAY</v>
      </c>
      <c r="C32" s="12" t="str">
        <f>RIGHT(A32,2)</f>
        <v>CA</v>
      </c>
      <c r="D32" s="19" t="s">
        <v>69</v>
      </c>
      <c r="E32" s="13" t="s">
        <v>85</v>
      </c>
      <c r="F32" s="13" t="str">
        <f>CONCATENATE(E32," ",D32)</f>
        <v>Garmin Fitness Tracker</v>
      </c>
      <c r="G32" s="14">
        <v>130</v>
      </c>
      <c r="H32" s="13">
        <v>5</v>
      </c>
      <c r="I32" s="19" t="s">
        <v>8</v>
      </c>
      <c r="N32" s="29" t="s">
        <v>106</v>
      </c>
    </row>
    <row r="33" spans="1:18" ht="15.75" customHeight="1" x14ac:dyDescent="0.25">
      <c r="A33" s="15" t="s">
        <v>86</v>
      </c>
      <c r="B33" s="15" t="str">
        <f>LEFT(A33,6)</f>
        <v>02-DEC</v>
      </c>
      <c r="C33" s="15" t="str">
        <f>RIGHT(A33,2)</f>
        <v>CA</v>
      </c>
      <c r="D33" s="21" t="s">
        <v>87</v>
      </c>
      <c r="E33" s="16" t="s">
        <v>88</v>
      </c>
      <c r="F33" s="16" t="str">
        <f>CONCATENATE(E33," ",D33)</f>
        <v>Levi's Jeans</v>
      </c>
      <c r="G33" s="17">
        <v>50</v>
      </c>
      <c r="H33" s="16">
        <v>50</v>
      </c>
      <c r="I33" s="21" t="s">
        <v>12</v>
      </c>
      <c r="N33" s="29" t="s">
        <v>107</v>
      </c>
      <c r="R33" s="31" t="s">
        <v>137</v>
      </c>
    </row>
    <row r="34" spans="1:18" ht="15.75" customHeight="1" x14ac:dyDescent="0.25">
      <c r="A34" s="12" t="s">
        <v>37</v>
      </c>
      <c r="B34" s="12" t="str">
        <f>LEFT(A34,6)</f>
        <v>17-JUN</v>
      </c>
      <c r="C34" s="12" t="str">
        <f>RIGHT(A34,2)</f>
        <v>IN</v>
      </c>
      <c r="D34" s="19" t="s">
        <v>38</v>
      </c>
      <c r="E34" s="13" t="s">
        <v>39</v>
      </c>
      <c r="F34" s="13" t="str">
        <f>CONCATENATE(E34," ",D34)</f>
        <v>HP Laptop</v>
      </c>
      <c r="G34" s="14">
        <v>950</v>
      </c>
      <c r="H34" s="13">
        <v>25</v>
      </c>
      <c r="I34" s="19" t="s">
        <v>8</v>
      </c>
    </row>
    <row r="35" spans="1:18" ht="15.75" customHeight="1" x14ac:dyDescent="0.3">
      <c r="A35" s="15" t="s">
        <v>89</v>
      </c>
      <c r="B35" s="15" t="str">
        <f>LEFT(A35,6)</f>
        <v>09-JUL</v>
      </c>
      <c r="C35" s="15" t="str">
        <f>RIGHT(A35,2)</f>
        <v>FR</v>
      </c>
      <c r="D35" s="21" t="s">
        <v>90</v>
      </c>
      <c r="E35" s="16" t="s">
        <v>91</v>
      </c>
      <c r="F35" s="16" t="str">
        <f>CONCATENATE(E35," ",D35)</f>
        <v>Casio Watch</v>
      </c>
      <c r="G35" s="17">
        <v>100</v>
      </c>
      <c r="H35" s="16">
        <v>20</v>
      </c>
      <c r="I35" s="21" t="s">
        <v>51</v>
      </c>
      <c r="N35" s="9" t="s">
        <v>108</v>
      </c>
      <c r="R35" s="30" t="s">
        <v>138</v>
      </c>
    </row>
    <row r="36" spans="1:18" ht="15.75" customHeight="1" x14ac:dyDescent="0.25"/>
    <row r="37" spans="1:18" ht="15.75" customHeight="1" x14ac:dyDescent="0.3">
      <c r="N37" s="26" t="s">
        <v>109</v>
      </c>
      <c r="R37" s="23" t="s">
        <v>139</v>
      </c>
    </row>
    <row r="38" spans="1:18" ht="15.75" customHeight="1" x14ac:dyDescent="0.25">
      <c r="N38" s="26" t="s">
        <v>110</v>
      </c>
    </row>
    <row r="39" spans="1:18" ht="15.75" customHeight="1" x14ac:dyDescent="0.3">
      <c r="N39" s="26" t="s">
        <v>111</v>
      </c>
      <c r="R39" s="30" t="s">
        <v>140</v>
      </c>
    </row>
    <row r="40" spans="1:18" ht="15.75" customHeight="1" x14ac:dyDescent="0.25"/>
    <row r="41" spans="1:18" ht="15.75" customHeight="1" x14ac:dyDescent="0.3">
      <c r="R41" s="30" t="s">
        <v>141</v>
      </c>
    </row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3" type="noConversion"/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</dc:creator>
  <cp:lastModifiedBy>umasaji23@outlook.com</cp:lastModifiedBy>
  <dcterms:created xsi:type="dcterms:W3CDTF">2026-05-31T13:05:37Z</dcterms:created>
  <dcterms:modified xsi:type="dcterms:W3CDTF">2026-05-31T15:04:38Z</dcterms:modified>
</cp:coreProperties>
</file>